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<sst xmlns="http://schemas.openxmlformats.org/spreadsheetml/2006/main" count="7" uniqueCount="7">
  <si>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Target moisture (%)</t>
  </si>
  <si>
    <t>Amount of water needed (mL)</t>
  </si>
  <si>
    <t>Reading from sensor (raw)</t>
  </si>
  <si>
    <t>Sensor (normalized)</t>
  </si>
  <si>
    <t>Amount of soil (L):</t>
  </si>
  <si>
    <t>Reading out of soil (raw):</t>
  </si>
  <si>
    <t>Multiplier: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</si>
</sst>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moisture (%), Amount of water needed (mL) and Reading from sensor (raw)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Sheet1!$A$2:$A$1000</c:f>
              <c:numCache/>
            </c:numRef>
          </c:val>
          <c:smooth val="0"/>
        </c:ser>
        <c:ser>
          <c:idx val="1"/>
          <c:order val="1"/>
          <c:tx>
            <c:strRef>
              <c:f>Sheet1!$D$1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Sheet1!$D$2:$D$14</c:f>
              <c:numCache/>
            </c:numRef>
          </c:val>
          <c:smooth val="0"/>
        </c:ser>
        <c:axId val="21429525"/>
        <c:axId val="1418139378"/>
      </c:lineChart>
      <c:catAx>
        <c:axId val="21429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139378"/>
      </c:catAx>
      <c:valAx>
        <c:axId val="1418139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9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333375</xdr:colOff>
      <xdr:row>2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25.88"/>
    <col customWidth="1" min="3" max="3" width="23.0"/>
    <col customWidth="1" min="4" max="4" width="18.0"/>
    <col customWidth="1" min="6" max="6" width="20.25"/>
    <col customWidth="1" min="7" max="7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4">
        <f t="shared" ref="B2:B14" si="1">(A2/100)*$G$6*1000</f>
        <v>0</v>
      </c>
      <c r="C2" s="3">
        <v>52158.13</v>
      </c>
      <c r="D2" s="4">
        <f t="shared" ref="D2:D14" si="2">((52.15813
 )-(C2/1000))/(52.15813
 -27.71)*$G$8</f>
        <v>0</v>
      </c>
    </row>
    <row r="3">
      <c r="A3" s="3">
        <v>5.0</v>
      </c>
      <c r="B3" s="4">
        <f t="shared" si="1"/>
        <v>50</v>
      </c>
      <c r="C3" s="3">
        <v>51306.93</v>
      </c>
      <c r="D3" s="4">
        <f t="shared" si="2"/>
        <v>1.74082844</v>
      </c>
    </row>
    <row r="4">
      <c r="A4" s="3">
        <v>10.0</v>
      </c>
      <c r="B4" s="4">
        <f t="shared" si="1"/>
        <v>100</v>
      </c>
      <c r="C4" s="3">
        <v>47744.33</v>
      </c>
      <c r="D4" s="4">
        <f t="shared" si="2"/>
        <v>9.026866267</v>
      </c>
    </row>
    <row r="5">
      <c r="A5" s="3">
        <v>15.0</v>
      </c>
      <c r="B5" s="4">
        <f t="shared" si="1"/>
        <v>150</v>
      </c>
      <c r="C5" s="3">
        <v>45182.93</v>
      </c>
      <c r="D5" s="4">
        <f t="shared" si="2"/>
        <v>14.26530373</v>
      </c>
    </row>
    <row r="6">
      <c r="A6" s="3">
        <v>20.0</v>
      </c>
      <c r="B6" s="4">
        <f t="shared" si="1"/>
        <v>200</v>
      </c>
      <c r="C6" s="3">
        <v>42208.93</v>
      </c>
      <c r="D6" s="4">
        <f t="shared" si="2"/>
        <v>20.34756851</v>
      </c>
      <c r="F6" s="3" t="s">
        <v>4</v>
      </c>
      <c r="G6" s="3">
        <v>1.0</v>
      </c>
    </row>
    <row r="7">
      <c r="A7" s="3">
        <v>25.0</v>
      </c>
      <c r="B7" s="4">
        <f t="shared" si="1"/>
        <v>250</v>
      </c>
      <c r="C7" s="3">
        <v>39607.4</v>
      </c>
      <c r="D7" s="4">
        <f t="shared" si="2"/>
        <v>25.66807768</v>
      </c>
      <c r="F7" s="3" t="s">
        <v>5</v>
      </c>
      <c r="G7" s="3">
        <v>54834.87</v>
      </c>
    </row>
    <row r="8">
      <c r="A8" s="3">
        <v>30.0</v>
      </c>
      <c r="B8" s="4">
        <f t="shared" si="1"/>
        <v>300</v>
      </c>
      <c r="C8" s="3">
        <v>42947.07</v>
      </c>
      <c r="D8" s="4">
        <f t="shared" si="2"/>
        <v>18.83796429</v>
      </c>
      <c r="F8" s="3" t="s">
        <v>6</v>
      </c>
      <c r="G8" s="3">
        <v>50.0</v>
      </c>
    </row>
    <row r="9">
      <c r="A9" s="3">
        <v>35.0</v>
      </c>
      <c r="B9" s="4">
        <f t="shared" si="1"/>
        <v>350</v>
      </c>
      <c r="C9" s="3">
        <v>34796.8</v>
      </c>
      <c r="D9" s="4">
        <f t="shared" si="2"/>
        <v>35.50645796</v>
      </c>
    </row>
    <row r="10">
      <c r="A10" s="3">
        <v>40.0</v>
      </c>
      <c r="B10" s="4">
        <f t="shared" si="1"/>
        <v>400</v>
      </c>
      <c r="C10" s="3">
        <v>32992.83</v>
      </c>
      <c r="D10" s="4">
        <f t="shared" si="2"/>
        <v>39.19584034</v>
      </c>
    </row>
    <row r="11">
      <c r="A11" s="3">
        <v>45.0</v>
      </c>
      <c r="B11" s="4">
        <f t="shared" si="1"/>
        <v>450</v>
      </c>
      <c r="C11" s="3">
        <v>30635.27</v>
      </c>
      <c r="D11" s="4">
        <f t="shared" si="2"/>
        <v>44.0173952</v>
      </c>
    </row>
    <row r="12">
      <c r="A12" s="3">
        <v>50.0</v>
      </c>
      <c r="B12" s="4">
        <f t="shared" si="1"/>
        <v>500</v>
      </c>
      <c r="C12" s="3">
        <v>29430.47</v>
      </c>
      <c r="D12" s="4">
        <f t="shared" si="2"/>
        <v>46.48138733</v>
      </c>
    </row>
    <row r="13">
      <c r="A13" s="3">
        <v>55.0</v>
      </c>
      <c r="B13" s="4">
        <f t="shared" si="1"/>
        <v>550</v>
      </c>
      <c r="C13" s="3">
        <v>29039.97</v>
      </c>
      <c r="D13" s="4">
        <f t="shared" si="2"/>
        <v>47.28001692</v>
      </c>
    </row>
    <row r="14">
      <c r="A14" s="3">
        <v>60.0</v>
      </c>
      <c r="B14" s="4">
        <f t="shared" si="1"/>
        <v>600</v>
      </c>
      <c r="C14" s="3">
        <v>27710.0</v>
      </c>
      <c r="D14" s="4">
        <f t="shared" si="2"/>
        <v>50</v>
      </c>
    </row>
  </sheetData>
  <drawing r:id="rId1"/>
</worksheet>
</file>